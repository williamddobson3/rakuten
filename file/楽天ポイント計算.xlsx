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u9\Documents\【03】C\251027_価格.com\"/>
    </mc:Choice>
  </mc:AlternateContent>
  <xr:revisionPtr revIDLastSave="0" documentId="13_ncr:1_{A78F6E7A-4C3A-4762-90E9-3695E87CE11A}" xr6:coauthVersionLast="47" xr6:coauthVersionMax="47" xr10:uidLastSave="{00000000-0000-0000-0000-000000000000}"/>
  <bookViews>
    <workbookView xWindow="28800" yWindow="0" windowWidth="14400" windowHeight="15750" xr2:uid="{4D8FB55E-5F8A-4CBD-BB8C-9A618331722C}"/>
  </bookViews>
  <sheets>
    <sheet name="楽天ポイント計算式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K10" i="1" s="1"/>
  <c r="J9" i="1"/>
  <c r="J10" i="1" s="1"/>
  <c r="I9" i="1"/>
  <c r="I10" i="1" s="1"/>
  <c r="H9" i="1"/>
  <c r="H10" i="1" s="1"/>
  <c r="G9" i="1"/>
  <c r="G10" i="1" s="1"/>
  <c r="F9" i="1"/>
  <c r="F10" i="1" s="1"/>
  <c r="D9" i="1"/>
  <c r="D10" i="1" s="1"/>
  <c r="D12" i="1" s="1"/>
  <c r="K12" i="1" l="1"/>
  <c r="K11" i="1"/>
  <c r="J12" i="1"/>
  <c r="J11" i="1"/>
  <c r="I12" i="1"/>
  <c r="I11" i="1"/>
  <c r="H12" i="1"/>
  <c r="H11" i="1"/>
  <c r="G12" i="1"/>
  <c r="G11" i="1"/>
  <c r="F12" i="1"/>
  <c r="F11" i="1"/>
  <c r="D11" i="1"/>
</calcChain>
</file>

<file path=xl/sharedStrings.xml><?xml version="1.0" encoding="utf-8"?>
<sst xmlns="http://schemas.openxmlformats.org/spreadsheetml/2006/main" count="27" uniqueCount="23">
  <si>
    <t>楽天価格 [円]</t>
    <rPh sb="0" eb="4">
      <t>ラクテンカカク</t>
    </rPh>
    <rPh sb="6" eb="7">
      <t>エン</t>
    </rPh>
    <phoneticPr fontId="1"/>
  </si>
  <si>
    <t>〇%ポイントバック（無い時は1）</t>
    <rPh sb="10" eb="11">
      <t>ナ</t>
    </rPh>
    <rPh sb="12" eb="13">
      <t>トキ</t>
    </rPh>
    <phoneticPr fontId="1"/>
  </si>
  <si>
    <t>+〇倍UP（無い時は0）</t>
    <rPh sb="6" eb="7">
      <t>ナ</t>
    </rPh>
    <rPh sb="8" eb="9">
      <t>トキ</t>
    </rPh>
    <phoneticPr fontId="1"/>
  </si>
  <si>
    <t>インプット</t>
    <phoneticPr fontId="1"/>
  </si>
  <si>
    <t>アウトプット</t>
    <phoneticPr fontId="1"/>
  </si>
  <si>
    <t>ポイント倍率</t>
    <rPh sb="4" eb="6">
      <t>バイリツ</t>
    </rPh>
    <phoneticPr fontId="1"/>
  </si>
  <si>
    <t>値</t>
    <rPh sb="0" eb="1">
      <t>アタイ</t>
    </rPh>
    <phoneticPr fontId="1"/>
  </si>
  <si>
    <t>備考</t>
    <rPh sb="0" eb="2">
      <t>ビコウ</t>
    </rPh>
    <phoneticPr fontId="1"/>
  </si>
  <si>
    <t>←サーバー取得値</t>
    <rPh sb="5" eb="7">
      <t>シュトク</t>
    </rPh>
    <rPh sb="7" eb="8">
      <t>チ</t>
    </rPh>
    <phoneticPr fontId="1"/>
  </si>
  <si>
    <t>項目</t>
    <rPh sb="0" eb="2">
      <t>コウモク</t>
    </rPh>
    <phoneticPr fontId="1"/>
  </si>
  <si>
    <t>合計ポイント [pt]</t>
    <rPh sb="0" eb="2">
      <t>ゴウケイ</t>
    </rPh>
    <phoneticPr fontId="1"/>
  </si>
  <si>
    <t>クーポン [円]</t>
    <rPh sb="6" eb="7">
      <t>エン</t>
    </rPh>
    <phoneticPr fontId="1"/>
  </si>
  <si>
    <t>クーポン [%]</t>
    <phoneticPr fontId="1"/>
  </si>
  <si>
    <t>計算例1</t>
    <rPh sb="0" eb="2">
      <t>ケイサン</t>
    </rPh>
    <rPh sb="2" eb="3">
      <t>レイ</t>
    </rPh>
    <phoneticPr fontId="1"/>
  </si>
  <si>
    <t>計算例2</t>
    <rPh sb="2" eb="3">
      <t>レイ</t>
    </rPh>
    <phoneticPr fontId="1"/>
  </si>
  <si>
    <t>価格-ポイント</t>
    <phoneticPr fontId="1"/>
  </si>
  <si>
    <t>価格-ポイント-クーポン</t>
    <phoneticPr fontId="1"/>
  </si>
  <si>
    <t>クーポン採用値 [円]</t>
    <rPh sb="4" eb="7">
      <t>サイヨウチ</t>
    </rPh>
    <rPh sb="9" eb="10">
      <t>エン</t>
    </rPh>
    <phoneticPr fontId="1"/>
  </si>
  <si>
    <r>
      <rPr>
        <sz val="11"/>
        <color theme="1"/>
        <rFont val="游ゴシック"/>
        <family val="2"/>
        <charset val="128"/>
      </rPr>
      <t>←</t>
    </r>
    <r>
      <rPr>
        <sz val="11"/>
        <color theme="1"/>
        <rFont val="游ゴシック"/>
        <family val="2"/>
        <charset val="128"/>
        <scheme val="minor"/>
      </rPr>
      <t>サイト閲覧ユーザー各々が指定入力する値(デフォルトは4)</t>
    </r>
    <rPh sb="4" eb="6">
      <t>エツラン</t>
    </rPh>
    <rPh sb="10" eb="12">
      <t>オノオノ</t>
    </rPh>
    <rPh sb="13" eb="17">
      <t>シテイニュウリョク</t>
    </rPh>
    <rPh sb="19" eb="20">
      <t>アタイ</t>
    </rPh>
    <phoneticPr fontId="1"/>
  </si>
  <si>
    <t>計算例3</t>
    <rPh sb="2" eb="3">
      <t>レイ</t>
    </rPh>
    <phoneticPr fontId="1"/>
  </si>
  <si>
    <t>計算例4</t>
    <rPh sb="2" eb="3">
      <t>レイ</t>
    </rPh>
    <phoneticPr fontId="1"/>
  </si>
  <si>
    <t>計算例5</t>
    <rPh sb="2" eb="3">
      <t>レイ</t>
    </rPh>
    <phoneticPr fontId="1"/>
  </si>
  <si>
    <t>計算例6</t>
    <rPh sb="2" eb="3">
      <t>レイ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</si>
</sst>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D5198-0669-49C8-B576-A1182CB85F60}">
  <dimension ref="B1:K12"/>
  <sheetViews>
    <sheetView tabSelected="1" topLeftCell="B1" workbookViewId="0">
      <selection activeCell="E3" sqref="E3"/>
    </sheetView>
  </sheetViews>
  <sheetFormatPr defaultRowHeight="18.75" x14ac:dyDescent="0.4"/>
  <cols>
    <col min="1" max="1" width="4.125" customWidth="1"/>
    <col min="2" max="2" width="13" bestFit="1" customWidth="1"/>
    <col min="3" max="3" width="32.5" style="1" bestFit="1" customWidth="1"/>
    <col min="4" max="4" width="9" customWidth="1"/>
    <col min="5" max="5" width="56.25" customWidth="1"/>
    <col min="6" max="7" width="9" style="1" customWidth="1"/>
    <col min="8" max="9" width="9" customWidth="1"/>
  </cols>
  <sheetData>
    <row r="1" spans="2:11" ht="19.5" thickBot="1" x14ac:dyDescent="0.45"/>
    <row r="2" spans="2:11" ht="19.5" thickBot="1" x14ac:dyDescent="0.45">
      <c r="B2" s="11"/>
      <c r="C2" s="12" t="s">
        <v>9</v>
      </c>
      <c r="D2" s="12" t="s">
        <v>6</v>
      </c>
      <c r="E2" s="12" t="s">
        <v>7</v>
      </c>
      <c r="F2" s="12" t="s">
        <v>13</v>
      </c>
      <c r="G2" s="12" t="s">
        <v>14</v>
      </c>
      <c r="H2" s="12" t="s">
        <v>19</v>
      </c>
      <c r="I2" s="12" t="s">
        <v>20</v>
      </c>
      <c r="J2" s="12" t="s">
        <v>21</v>
      </c>
      <c r="K2" s="13" t="s">
        <v>22</v>
      </c>
    </row>
    <row r="3" spans="2:11" x14ac:dyDescent="0.4">
      <c r="B3" s="14" t="s">
        <v>3</v>
      </c>
      <c r="C3" s="4" t="s">
        <v>5</v>
      </c>
      <c r="D3" s="5">
        <v>9.3000000000000007</v>
      </c>
      <c r="E3" s="5" t="s">
        <v>18</v>
      </c>
      <c r="F3" s="5">
        <v>1</v>
      </c>
      <c r="G3" s="5">
        <v>4</v>
      </c>
      <c r="H3" s="5">
        <v>4</v>
      </c>
      <c r="I3" s="5">
        <v>4</v>
      </c>
      <c r="J3" s="5">
        <v>4</v>
      </c>
      <c r="K3" s="6">
        <v>4</v>
      </c>
    </row>
    <row r="4" spans="2:11" x14ac:dyDescent="0.4">
      <c r="B4" s="15"/>
      <c r="C4" s="3" t="s">
        <v>0</v>
      </c>
      <c r="D4" s="2">
        <v>2627</v>
      </c>
      <c r="E4" s="2" t="s">
        <v>8</v>
      </c>
      <c r="F4" s="2">
        <v>2627</v>
      </c>
      <c r="G4" s="2">
        <v>2627</v>
      </c>
      <c r="H4" s="2">
        <v>2627</v>
      </c>
      <c r="I4" s="2">
        <v>2627</v>
      </c>
      <c r="J4" s="2">
        <v>2627</v>
      </c>
      <c r="K4" s="7">
        <v>2627</v>
      </c>
    </row>
    <row r="5" spans="2:11" x14ac:dyDescent="0.4">
      <c r="B5" s="15"/>
      <c r="C5" s="3" t="s">
        <v>11</v>
      </c>
      <c r="D5" s="2">
        <v>500</v>
      </c>
      <c r="E5" s="2" t="s">
        <v>8</v>
      </c>
      <c r="F5" s="2">
        <v>0</v>
      </c>
      <c r="G5" s="2">
        <v>0</v>
      </c>
      <c r="H5" s="2">
        <v>500</v>
      </c>
      <c r="I5" s="2">
        <v>0</v>
      </c>
      <c r="J5" s="2">
        <v>0</v>
      </c>
      <c r="K5" s="7">
        <v>0</v>
      </c>
    </row>
    <row r="6" spans="2:11" x14ac:dyDescent="0.4">
      <c r="B6" s="15"/>
      <c r="C6" s="3" t="s">
        <v>12</v>
      </c>
      <c r="D6" s="2">
        <v>0</v>
      </c>
      <c r="E6" s="2" t="s">
        <v>8</v>
      </c>
      <c r="F6" s="2">
        <v>0</v>
      </c>
      <c r="G6" s="2">
        <v>0</v>
      </c>
      <c r="H6" s="2">
        <v>0</v>
      </c>
      <c r="I6" s="2">
        <v>10</v>
      </c>
      <c r="J6" s="2">
        <v>10</v>
      </c>
      <c r="K6" s="7">
        <v>10</v>
      </c>
    </row>
    <row r="7" spans="2:11" x14ac:dyDescent="0.4">
      <c r="B7" s="15"/>
      <c r="C7" s="3" t="s">
        <v>2</v>
      </c>
      <c r="D7" s="2">
        <v>0</v>
      </c>
      <c r="E7" s="2" t="s">
        <v>8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7">
        <v>5</v>
      </c>
    </row>
    <row r="8" spans="2:11" ht="19.5" thickBot="1" x14ac:dyDescent="0.45">
      <c r="B8" s="16"/>
      <c r="C8" s="10" t="s">
        <v>1</v>
      </c>
      <c r="D8" s="8">
        <v>20</v>
      </c>
      <c r="E8" s="8" t="s">
        <v>8</v>
      </c>
      <c r="F8" s="8">
        <v>1</v>
      </c>
      <c r="G8" s="8">
        <v>1</v>
      </c>
      <c r="H8" s="8">
        <v>1</v>
      </c>
      <c r="I8" s="8">
        <v>1</v>
      </c>
      <c r="J8" s="8">
        <v>15</v>
      </c>
      <c r="K8" s="9">
        <v>1</v>
      </c>
    </row>
    <row r="9" spans="2:11" x14ac:dyDescent="0.4">
      <c r="B9" s="14" t="s">
        <v>4</v>
      </c>
      <c r="C9" s="4" t="s">
        <v>17</v>
      </c>
      <c r="D9" s="5">
        <f>MAX(D5,INT(D4*D6/100))</f>
        <v>500</v>
      </c>
      <c r="E9" s="5"/>
      <c r="F9" s="5">
        <f t="shared" ref="F9:K9" si="0">MAX(F5,INT(F4*F6/100))</f>
        <v>0</v>
      </c>
      <c r="G9" s="5">
        <f t="shared" si="0"/>
        <v>0</v>
      </c>
      <c r="H9" s="5">
        <f t="shared" si="0"/>
        <v>500</v>
      </c>
      <c r="I9" s="5">
        <f t="shared" si="0"/>
        <v>262</v>
      </c>
      <c r="J9" s="5">
        <f t="shared" si="0"/>
        <v>262</v>
      </c>
      <c r="K9" s="6">
        <f t="shared" si="0"/>
        <v>262</v>
      </c>
    </row>
    <row r="10" spans="2:11" x14ac:dyDescent="0.4">
      <c r="B10" s="15"/>
      <c r="C10" s="3" t="s">
        <v>10</v>
      </c>
      <c r="D10" s="2">
        <f>INT(INT((D4-D9)/100*1)+INT((D4-D9)/1.1/100*0.5)+INT((D4-D9)/1.1/100*D8)+INT((D4-D9)/1.1/100)*(D3-1-0.5-1+D7))</f>
        <v>545</v>
      </c>
      <c r="E10" s="2"/>
      <c r="F10" s="2">
        <f t="shared" ref="F10:K10" si="1">INT(INT((F4-F9)/100*1)+INT((F4-F9)/1.1/100*0.5)+INT((F4-F9)/1.1/100*F8)+INT((F4-F9)/1.1/100)*(F3-1-0.5-1+F7))</f>
        <v>25</v>
      </c>
      <c r="G10" s="2">
        <f t="shared" si="1"/>
        <v>94</v>
      </c>
      <c r="H10" s="2">
        <f t="shared" si="1"/>
        <v>77</v>
      </c>
      <c r="I10" s="2">
        <f t="shared" si="1"/>
        <v>85</v>
      </c>
      <c r="J10" s="2">
        <f t="shared" si="1"/>
        <v>386</v>
      </c>
      <c r="K10" s="7">
        <f t="shared" si="1"/>
        <v>190</v>
      </c>
    </row>
    <row r="11" spans="2:11" x14ac:dyDescent="0.4">
      <c r="B11" s="15"/>
      <c r="C11" s="2" t="s">
        <v>15</v>
      </c>
      <c r="D11" s="2">
        <f>D4-D10</f>
        <v>2082</v>
      </c>
      <c r="E11" s="2"/>
      <c r="F11" s="2">
        <f t="shared" ref="F11:K11" si="2">F4-F10</f>
        <v>2602</v>
      </c>
      <c r="G11" s="2">
        <f t="shared" si="2"/>
        <v>2533</v>
      </c>
      <c r="H11" s="2">
        <f t="shared" si="2"/>
        <v>2550</v>
      </c>
      <c r="I11" s="2">
        <f t="shared" si="2"/>
        <v>2542</v>
      </c>
      <c r="J11" s="2">
        <f t="shared" si="2"/>
        <v>2241</v>
      </c>
      <c r="K11" s="7">
        <f t="shared" si="2"/>
        <v>2437</v>
      </c>
    </row>
    <row r="12" spans="2:11" ht="19.5" thickBot="1" x14ac:dyDescent="0.45">
      <c r="B12" s="16"/>
      <c r="C12" s="8" t="s">
        <v>16</v>
      </c>
      <c r="D12" s="8">
        <f>D4-D10-D9</f>
        <v>1582</v>
      </c>
      <c r="E12" s="8"/>
      <c r="F12" s="8">
        <f t="shared" ref="F12:K12" si="3">F4-F10-F9</f>
        <v>2602</v>
      </c>
      <c r="G12" s="8">
        <f t="shared" si="3"/>
        <v>2533</v>
      </c>
      <c r="H12" s="8">
        <f t="shared" si="3"/>
        <v>2050</v>
      </c>
      <c r="I12" s="8">
        <f t="shared" si="3"/>
        <v>2280</v>
      </c>
      <c r="J12" s="8">
        <f t="shared" si="3"/>
        <v>1979</v>
      </c>
      <c r="K12" s="9">
        <f t="shared" si="3"/>
        <v>2175</v>
      </c>
    </row>
  </sheetData>
  <mergeCells count="2">
    <mergeCell ref="B3:B8"/>
    <mergeCell ref="B9:B1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楽天ポイント計算式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T</dc:creator>
  <cp:lastModifiedBy>K T</cp:lastModifiedBy>
  <dcterms:created xsi:type="dcterms:W3CDTF">2023-08-26T02:51:06Z</dcterms:created>
  <dcterms:modified xsi:type="dcterms:W3CDTF">2025-12-13T06:43:59Z</dcterms:modified>
</cp:coreProperties>
</file>